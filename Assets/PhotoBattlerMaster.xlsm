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denpa\Source\Repos\PhotoBattler\Assets\"/>
    </mc:Choice>
  </mc:AlternateContent>
  <xr:revisionPtr revIDLastSave="0" documentId="13_ncr:1_{425B8936-A9A3-45B6-BD8D-D2B5D1FA960B}" xr6:coauthVersionLast="34" xr6:coauthVersionMax="34" xr10:uidLastSave="{00000000-0000-0000-0000-000000000000}"/>
  <bookViews>
    <workbookView xWindow="0" yWindow="0" windowWidth="24720" windowHeight="11535" activeTab="1" xr2:uid="{AAAF790F-E975-4F76-894E-FD4E67CCCA25}"/>
  </bookViews>
  <sheets>
    <sheet name="ASIN" sheetId="1" r:id="rId1"/>
    <sheet name="Tags" sheetId="2" r:id="rId2"/>
  </sheets>
  <functionGroups builtInGroupCount="19"/>
  <definedNames>
    <definedName name="_xlnm._FilterDatabase" localSheetId="1" hidden="1">Tags!$C$1:$K$16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6" i="2" l="1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 l="1"/>
  <c r="B3" i="2"/>
  <c r="B2" i="2"/>
  <c r="H64" i="1"/>
  <c r="H55" i="1"/>
  <c r="H53" i="1"/>
  <c r="H51" i="1"/>
  <c r="H48" i="1"/>
  <c r="H33" i="1"/>
  <c r="H32" i="1"/>
  <c r="H39" i="1"/>
  <c r="H23" i="1"/>
  <c r="H26" i="1"/>
  <c r="H45" i="1"/>
  <c r="H12" i="1"/>
  <c r="H21" i="1"/>
  <c r="H19" i="1"/>
  <c r="H47" i="1"/>
  <c r="H25" i="1"/>
  <c r="H31" i="1"/>
  <c r="H42" i="1"/>
  <c r="H22" i="1"/>
  <c r="H56" i="1"/>
  <c r="H52" i="1"/>
  <c r="H37" i="1"/>
  <c r="H40" i="1"/>
  <c r="H30" i="1"/>
  <c r="H46" i="1"/>
  <c r="H16" i="1"/>
  <c r="H54" i="1"/>
  <c r="H49" i="1"/>
  <c r="H58" i="1"/>
  <c r="H62" i="1"/>
  <c r="H63" i="1"/>
  <c r="H29" i="1"/>
  <c r="H28" i="1"/>
  <c r="H35" i="1"/>
  <c r="H38" i="1"/>
  <c r="H44" i="1"/>
  <c r="H43" i="1"/>
  <c r="H15" i="1"/>
  <c r="H17" i="1"/>
  <c r="H57" i="1"/>
  <c r="H61" i="1"/>
  <c r="H60" i="1"/>
  <c r="H41" i="1"/>
  <c r="H24" i="1"/>
  <c r="H34" i="1"/>
  <c r="H13" i="1"/>
  <c r="H20" i="1"/>
  <c r="H50" i="1"/>
  <c r="H59" i="1"/>
  <c r="H36" i="1"/>
  <c r="H27" i="1"/>
  <c r="H14" i="1"/>
  <c r="H18" i="1"/>
  <c r="B16" i="2"/>
  <c r="B12" i="2"/>
  <c r="B8" i="2"/>
  <c r="B9" i="2"/>
  <c r="B15" i="2"/>
  <c r="B11" i="2"/>
  <c r="B7" i="2"/>
  <c r="B14" i="2"/>
  <c r="B10" i="2"/>
  <c r="B6" i="2"/>
  <c r="B13" i="2"/>
  <c r="B5" i="2"/>
  <c r="B4" i="2"/>
</calcChain>
</file>

<file path=xl/sharedStrings.xml><?xml version="1.0" encoding="utf-8"?>
<sst xmlns="http://schemas.openxmlformats.org/spreadsheetml/2006/main" count="335" uniqueCount="159">
  <si>
    <t>ASIN</t>
    <phoneticPr fontId="1"/>
  </si>
  <si>
    <t>Tags</t>
    <phoneticPr fontId="1"/>
  </si>
  <si>
    <t>B07D15BH9Q</t>
    <phoneticPr fontId="1"/>
  </si>
  <si>
    <t>FA:G</t>
    <phoneticPr fontId="1"/>
  </si>
  <si>
    <t>Category</t>
    <phoneticPr fontId="1"/>
  </si>
  <si>
    <t>Item</t>
    <phoneticPr fontId="1"/>
  </si>
  <si>
    <t>FA:G グライフェン</t>
    <phoneticPr fontId="1"/>
  </si>
  <si>
    <t>軽装甲</t>
    <rPh sb="0" eb="1">
      <t>ケイ</t>
    </rPh>
    <rPh sb="1" eb="3">
      <t>ソウコウ</t>
    </rPh>
    <phoneticPr fontId="1"/>
  </si>
  <si>
    <t>重装甲</t>
    <rPh sb="0" eb="1">
      <t>ジュウ</t>
    </rPh>
    <rPh sb="1" eb="3">
      <t>ソウコウ</t>
    </rPh>
    <phoneticPr fontId="1"/>
  </si>
  <si>
    <t>TagName</t>
    <phoneticPr fontId="1"/>
  </si>
  <si>
    <t>近接武装</t>
    <rPh sb="0" eb="2">
      <t>キンセツ</t>
    </rPh>
    <rPh sb="2" eb="4">
      <t>ブソウ</t>
    </rPh>
    <phoneticPr fontId="1"/>
  </si>
  <si>
    <t>射撃武装</t>
    <rPh sb="0" eb="2">
      <t>シャゲキ</t>
    </rPh>
    <rPh sb="2" eb="4">
      <t>ブソウ</t>
    </rPh>
    <phoneticPr fontId="1"/>
  </si>
  <si>
    <t>陸戦適応</t>
    <rPh sb="0" eb="2">
      <t>リクセン</t>
    </rPh>
    <rPh sb="2" eb="4">
      <t>テキオウ</t>
    </rPh>
    <phoneticPr fontId="1"/>
  </si>
  <si>
    <t>空戦適応</t>
    <rPh sb="0" eb="2">
      <t>クウセン</t>
    </rPh>
    <rPh sb="2" eb="4">
      <t>テキオウ</t>
    </rPh>
    <phoneticPr fontId="1"/>
  </si>
  <si>
    <t>海戦適応</t>
    <rPh sb="0" eb="2">
      <t>カイセン</t>
    </rPh>
    <rPh sb="2" eb="4">
      <t>テキオウ</t>
    </rPh>
    <phoneticPr fontId="1"/>
  </si>
  <si>
    <t>素体</t>
    <rPh sb="0" eb="2">
      <t>ソタイ</t>
    </rPh>
    <phoneticPr fontId="1"/>
  </si>
  <si>
    <t>高機動</t>
    <rPh sb="0" eb="3">
      <t>コウキドウ</t>
    </rPh>
    <phoneticPr fontId="1"/>
  </si>
  <si>
    <t>JSON</t>
    <phoneticPr fontId="1"/>
  </si>
  <si>
    <t>B075XFD7ZX</t>
    <phoneticPr fontId="1"/>
  </si>
  <si>
    <t>FA:G 白虎</t>
    <rPh sb="5" eb="7">
      <t>ビャッコ</t>
    </rPh>
    <phoneticPr fontId="1"/>
  </si>
  <si>
    <t>射撃武装</t>
    <rPh sb="0" eb="2">
      <t>シャゲキ</t>
    </rPh>
    <rPh sb="2" eb="4">
      <t>ブソウ</t>
    </rPh>
    <phoneticPr fontId="1"/>
  </si>
  <si>
    <t>Status</t>
    <phoneticPr fontId="1"/>
  </si>
  <si>
    <t>Done</t>
    <phoneticPr fontId="1"/>
  </si>
  <si>
    <t>B00RWXHD0S</t>
  </si>
  <si>
    <t>FA:G 轟雷</t>
  </si>
  <si>
    <t>B00XOQGYLG</t>
  </si>
  <si>
    <t>FA:G スティレット</t>
  </si>
  <si>
    <t>B015X6WU2Q</t>
  </si>
  <si>
    <t>FA:G マテリア White Ver.</t>
  </si>
  <si>
    <t>B015X6WUH6</t>
  </si>
  <si>
    <t>FA:G マテリア Normal Ver.</t>
  </si>
  <si>
    <t>B018JLNZLM</t>
  </si>
  <si>
    <t>FA:G アーキテクト</t>
  </si>
  <si>
    <t>B01ER5LPN4</t>
  </si>
  <si>
    <t>FA:G バーゼラルド</t>
  </si>
  <si>
    <t>B01LRMINQC</t>
  </si>
  <si>
    <t>FA:G フレズヴェルク</t>
  </si>
  <si>
    <t>B01LYCSMWH</t>
  </si>
  <si>
    <t>FA:G イノセンティア</t>
  </si>
  <si>
    <t>B01N16AEDZ</t>
  </si>
  <si>
    <t>B077G5PNLC</t>
  </si>
  <si>
    <t>FA:G 轟雷 by JUN WATANABE</t>
  </si>
  <si>
    <t>FA:G フレズヴェルク=アーテル</t>
    <phoneticPr fontId="1"/>
  </si>
  <si>
    <t>B01B79CM0I</t>
    <phoneticPr fontId="1"/>
  </si>
  <si>
    <t>B01GBYZKF8</t>
    <phoneticPr fontId="1"/>
  </si>
  <si>
    <t>FA:G 迅雷</t>
    <phoneticPr fontId="1"/>
  </si>
  <si>
    <t>FA:G 迅雷 Indigo Ver.</t>
    <phoneticPr fontId="1"/>
  </si>
  <si>
    <t>軽装甲</t>
    <rPh sb="0" eb="1">
      <t>ケイ</t>
    </rPh>
    <rPh sb="1" eb="3">
      <t>ソウコウ</t>
    </rPh>
    <phoneticPr fontId="1"/>
  </si>
  <si>
    <t>隠密</t>
    <rPh sb="0" eb="2">
      <t>オンミツ</t>
    </rPh>
    <phoneticPr fontId="1"/>
  </si>
  <si>
    <t>HGUC</t>
    <phoneticPr fontId="1"/>
  </si>
  <si>
    <t>HGUC RX-77-2 ガンキャノン</t>
  </si>
  <si>
    <t>HGUC AMX-011S ザクIII改</t>
  </si>
  <si>
    <t>HGUC AMX-004 キュベレイ</t>
  </si>
  <si>
    <t>HGUC MSN-00100 百式</t>
  </si>
  <si>
    <t>HGUC MSM-07 ズゴック</t>
  </si>
  <si>
    <t>HGUC RX-75 ガンタンク</t>
  </si>
  <si>
    <t>HGUC MSM-03 ゴッグ</t>
  </si>
  <si>
    <t>HGUC MS-07B グフ</t>
  </si>
  <si>
    <t>HGUC RMS-099 リックディアス</t>
  </si>
  <si>
    <t>HGUC AMX-004-2 キュベレイMk-II</t>
  </si>
  <si>
    <t>HGUC RMS-106 ハイザック</t>
  </si>
  <si>
    <t>HGUC RX-78GP01 ガンダムGP01 ゼフィランサス</t>
  </si>
  <si>
    <t>HGUC AMX-011 ザクIII</t>
  </si>
  <si>
    <t>HGUC AMX-107 バウ</t>
  </si>
  <si>
    <t>HGUC MS-14F ゲルググマリーネ</t>
  </si>
  <si>
    <t>HGUC MS-09F ドムトローペン</t>
  </si>
  <si>
    <t>HGUC RX-78GP01Fb ガンダムGP01Fb フルバーニアン</t>
  </si>
  <si>
    <t>HGUC MSM-07S シャア専用ズゴック</t>
  </si>
  <si>
    <t>HGUC RGM-79 ジム</t>
  </si>
  <si>
    <t>HGUC RX-78-2 ガンダム</t>
  </si>
  <si>
    <t>HGUC MSN-02 ジオング</t>
  </si>
  <si>
    <t>HGUC MSA-0011 Sガンダム</t>
  </si>
  <si>
    <t>HGUC RMS-141 ゼクアイン</t>
  </si>
  <si>
    <t>HGUC RX-78GP03S ガンダムGP03S ステイメン</t>
  </si>
  <si>
    <t>HGUC MS-14Fs ゲルググマリーネ シーマカスタム</t>
  </si>
  <si>
    <t>HGUC MS-09F ドムトローペン サンドブラウン</t>
  </si>
  <si>
    <t>HGUC RX-78GP03 ガンダムGP03 デンドロビウム</t>
  </si>
  <si>
    <t>HGUC MSA-0011[Ext] Ex-Sガンダム</t>
  </si>
  <si>
    <t>HGUC RX-178 ガンダムMk-II（ティターンズ）</t>
  </si>
  <si>
    <t>HGUC AMX-107 バウ（量産型）</t>
  </si>
  <si>
    <t>HGUC MS-06S シャア専用ザク</t>
  </si>
  <si>
    <t>HGUC RMS-099 リックディアス（クワトロ・バジーナカラー）</t>
  </si>
  <si>
    <t>HGUC MS-06FS ザクII FS型（ガルマ・ザビ専用機）</t>
  </si>
  <si>
    <t>HGUC FXA-05D+RX-178 スーパーガンダム</t>
  </si>
  <si>
    <t>HGUC PMX-003 ジ・オ</t>
  </si>
  <si>
    <t>HGUC MSM-03C ハイゴッグ</t>
  </si>
  <si>
    <t>HGUC RGM-79D ジム寒冷地仕様</t>
  </si>
  <si>
    <t>HGUC MSM-07E ズゴックE</t>
  </si>
  <si>
    <t>HGUC MS-06 量産型ザク</t>
  </si>
  <si>
    <t>HGUC MSZ-006 ゼータガンダム</t>
  </si>
  <si>
    <t>HGUC ORX-005 ギャプラン</t>
  </si>
  <si>
    <t>HGUC MS-09R-2 リック・ドムII</t>
  </si>
  <si>
    <t>HGUC RX-77D ガンキャノン量産型</t>
  </si>
  <si>
    <t>HGUC MS-14JG ゲルググJ</t>
  </si>
  <si>
    <t>HGUC RGM-79G ジム・コマンド</t>
  </si>
  <si>
    <t>HGUC RX-78 NT-1 ガンダム NT1</t>
  </si>
  <si>
    <t>HGUC MSN-00100 百式+メガバズーカランチャー</t>
  </si>
  <si>
    <t>HGUC MRX-009 サイコガンダム</t>
  </si>
  <si>
    <t>HGUC Gアーマー</t>
  </si>
  <si>
    <t>砲撃武装</t>
    <rPh sb="0" eb="2">
      <t>ホウゲキ</t>
    </rPh>
    <rPh sb="2" eb="4">
      <t>ブソウ</t>
    </rPh>
    <phoneticPr fontId="1"/>
  </si>
  <si>
    <t>近接武装</t>
    <rPh sb="0" eb="2">
      <t>キンセツ</t>
    </rPh>
    <rPh sb="2" eb="4">
      <t>ブソウ</t>
    </rPh>
    <phoneticPr fontId="1"/>
  </si>
  <si>
    <t>高機動</t>
    <rPh sb="0" eb="3">
      <t>コウキドウ</t>
    </rPh>
    <phoneticPr fontId="1"/>
  </si>
  <si>
    <t>海戦適応</t>
    <rPh sb="0" eb="2">
      <t>カイセン</t>
    </rPh>
    <rPh sb="2" eb="4">
      <t>テキオウ</t>
    </rPh>
    <phoneticPr fontId="1"/>
  </si>
  <si>
    <t>陸戦適応</t>
    <rPh sb="0" eb="2">
      <t>リクセン</t>
    </rPh>
    <rPh sb="2" eb="4">
      <t>テキオウ</t>
    </rPh>
    <phoneticPr fontId="1"/>
  </si>
  <si>
    <t>低機動</t>
    <rPh sb="0" eb="1">
      <t>テイ</t>
    </rPh>
    <rPh sb="1" eb="3">
      <t>キドウ</t>
    </rPh>
    <phoneticPr fontId="1"/>
  </si>
  <si>
    <t>B00030EVBQ</t>
  </si>
  <si>
    <t>HGUC YMS-15 ギャン</t>
    <phoneticPr fontId="1"/>
  </si>
  <si>
    <t>B00030EV84</t>
    <phoneticPr fontId="1"/>
  </si>
  <si>
    <t>2枚、古いHGUCは画像が少ない。</t>
    <rPh sb="1" eb="2">
      <t>マイ</t>
    </rPh>
    <rPh sb="3" eb="4">
      <t>フル</t>
    </rPh>
    <rPh sb="10" eb="12">
      <t>ガゾウ</t>
    </rPh>
    <rPh sb="13" eb="14">
      <t>スク</t>
    </rPh>
    <phoneticPr fontId="1"/>
  </si>
  <si>
    <t>Category</t>
  </si>
  <si>
    <t>Category</t>
    <phoneticPr fontId="1"/>
  </si>
  <si>
    <t>SubCategory</t>
    <phoneticPr fontId="1"/>
  </si>
  <si>
    <t>FA:G</t>
    <phoneticPr fontId="1"/>
  </si>
  <si>
    <t>HGUC</t>
    <phoneticPr fontId="1"/>
  </si>
  <si>
    <t>メガミデバイス</t>
    <phoneticPr fontId="1"/>
  </si>
  <si>
    <t>Attribute</t>
    <phoneticPr fontId="1"/>
  </si>
  <si>
    <t>装甲</t>
    <rPh sb="0" eb="2">
      <t>ソウコウ</t>
    </rPh>
    <phoneticPr fontId="1"/>
  </si>
  <si>
    <t>機動</t>
    <rPh sb="0" eb="2">
      <t>キドウ</t>
    </rPh>
    <phoneticPr fontId="1"/>
  </si>
  <si>
    <t>HP</t>
    <phoneticPr fontId="1"/>
  </si>
  <si>
    <t>Attack</t>
    <phoneticPr fontId="1"/>
  </si>
  <si>
    <t>Mobility</t>
  </si>
  <si>
    <t>Exclusion</t>
  </si>
  <si>
    <t>武装</t>
    <rPh sb="0" eb="2">
      <t>ブソウ</t>
    </rPh>
    <phoneticPr fontId="1"/>
  </si>
  <si>
    <t>適応</t>
    <rPh sb="0" eb="2">
      <t>テキオウ</t>
    </rPh>
    <phoneticPr fontId="1"/>
  </si>
  <si>
    <t>単にネガティブな属性は設けないことにする</t>
    <rPh sb="0" eb="1">
      <t>タン</t>
    </rPh>
    <rPh sb="8" eb="10">
      <t>ゾクセイ</t>
    </rPh>
    <rPh sb="11" eb="12">
      <t>モウ</t>
    </rPh>
    <phoneticPr fontId="1"/>
  </si>
  <si>
    <t>×</t>
    <phoneticPr fontId="1"/>
  </si>
  <si>
    <t>ボツ</t>
    <phoneticPr fontId="1"/>
  </si>
  <si>
    <t>備考</t>
    <rPh sb="0" eb="2">
      <t>ビコウ</t>
    </rPh>
    <phoneticPr fontId="1"/>
  </si>
  <si>
    <t>ゲッター2</t>
    <phoneticPr fontId="1"/>
  </si>
  <si>
    <t>ゲッター1</t>
    <phoneticPr fontId="1"/>
  </si>
  <si>
    <t>ゲッター3</t>
    <phoneticPr fontId="1"/>
  </si>
  <si>
    <t>B01L8GH6BU</t>
    <phoneticPr fontId="1"/>
  </si>
  <si>
    <t>メガミデバイス</t>
    <phoneticPr fontId="1"/>
  </si>
  <si>
    <t>メガミ WISM・ソルジャー スナイプ/グラップル</t>
    <phoneticPr fontId="1"/>
  </si>
  <si>
    <t>B01ISZ0TX6</t>
    <phoneticPr fontId="1"/>
  </si>
  <si>
    <t xml:space="preserve">メガミ </t>
    <phoneticPr fontId="1"/>
  </si>
  <si>
    <t>メガミ WISM・ソルジャー アサルト/スカウト</t>
    <phoneticPr fontId="1"/>
  </si>
  <si>
    <t>メガミ SOLホーネット</t>
    <phoneticPr fontId="1"/>
  </si>
  <si>
    <t>B01MY9XU3I</t>
    <phoneticPr fontId="1"/>
  </si>
  <si>
    <t xml:space="preserve">メガミ SOLロードランナー </t>
    <phoneticPr fontId="1"/>
  </si>
  <si>
    <t>B06W2PGCRS</t>
    <phoneticPr fontId="1"/>
  </si>
  <si>
    <t>メガミ 朱羅 弓兵</t>
    <phoneticPr fontId="1"/>
  </si>
  <si>
    <t>B074W28LJX</t>
    <phoneticPr fontId="1"/>
  </si>
  <si>
    <t>メガミ 朱羅 忍者</t>
    <phoneticPr fontId="1"/>
  </si>
  <si>
    <t>B074DZFDYV</t>
    <phoneticPr fontId="1"/>
  </si>
  <si>
    <t>メガミ 朱羅 忍者 蒼衣</t>
    <phoneticPr fontId="1"/>
  </si>
  <si>
    <t>B07BBTLQ3W</t>
    <phoneticPr fontId="1"/>
  </si>
  <si>
    <t>メガミ 朱羅 弓兵 蒼衣</t>
    <phoneticPr fontId="1"/>
  </si>
  <si>
    <t>B07C31H8M4</t>
    <phoneticPr fontId="1"/>
  </si>
  <si>
    <t>メガミ Chaos &amp; Pretty ウィッチ</t>
    <phoneticPr fontId="1"/>
  </si>
  <si>
    <t>B079X5RXVG</t>
    <phoneticPr fontId="1"/>
  </si>
  <si>
    <t xml:space="preserve">メガミ Chaos &amp; Pretty マジカルガール </t>
    <phoneticPr fontId="1"/>
  </si>
  <si>
    <t>B0793KDFM5</t>
    <phoneticPr fontId="1"/>
  </si>
  <si>
    <t>近接武装</t>
    <phoneticPr fontId="1"/>
  </si>
  <si>
    <t>FA:G フレズヴェルク=インバート</t>
    <phoneticPr fontId="1"/>
  </si>
  <si>
    <t>B078XYCT72</t>
    <phoneticPr fontId="1"/>
  </si>
  <si>
    <t>Remark</t>
    <phoneticPr fontId="1"/>
  </si>
  <si>
    <t>PartitionKey</t>
    <phoneticPr fontId="1"/>
  </si>
  <si>
    <t>RowKey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</si>
</sst>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7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D6BE3-82AC-4F40-AB0A-AE96D1AB690F}">
  <sheetPr codeName="Sheet1"/>
  <dimension ref="A1:J93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1.625" style="1" bestFit="1" customWidth="1"/>
    <col min="3" max="3" width="53.625" bestFit="1" customWidth="1"/>
    <col min="8" max="8" width="18.625" customWidth="1"/>
  </cols>
  <sheetData>
    <row r="1" spans="1:10" x14ac:dyDescent="0.4">
      <c r="A1" s="1" t="s">
        <v>0</v>
      </c>
      <c r="B1" t="s">
        <v>4</v>
      </c>
      <c r="C1" t="s">
        <v>5</v>
      </c>
      <c r="D1" t="s">
        <v>1</v>
      </c>
      <c r="E1" t="s">
        <v>1</v>
      </c>
      <c r="F1" t="s">
        <v>1</v>
      </c>
      <c r="G1" t="s">
        <v>1</v>
      </c>
      <c r="H1" t="s">
        <v>17</v>
      </c>
      <c r="I1" t="s">
        <v>21</v>
      </c>
      <c r="J1" t="s">
        <v>156</v>
      </c>
    </row>
    <row r="2" spans="1:10" x14ac:dyDescent="0.4">
      <c r="A2" s="1" t="s">
        <v>23</v>
      </c>
      <c r="B2" t="s">
        <v>3</v>
      </c>
      <c r="C2" t="s">
        <v>24</v>
      </c>
      <c r="I2" t="s">
        <v>22</v>
      </c>
    </row>
    <row r="3" spans="1:10" x14ac:dyDescent="0.4">
      <c r="A3" s="1" t="s">
        <v>25</v>
      </c>
      <c r="B3" t="s">
        <v>3</v>
      </c>
      <c r="C3" t="s">
        <v>26</v>
      </c>
      <c r="I3" t="s">
        <v>22</v>
      </c>
    </row>
    <row r="4" spans="1:10" x14ac:dyDescent="0.4">
      <c r="A4" s="1" t="s">
        <v>27</v>
      </c>
      <c r="B4" t="s">
        <v>3</v>
      </c>
      <c r="C4" t="s">
        <v>28</v>
      </c>
      <c r="I4" t="s">
        <v>22</v>
      </c>
    </row>
    <row r="5" spans="1:10" x14ac:dyDescent="0.4">
      <c r="A5" s="1" t="s">
        <v>29</v>
      </c>
      <c r="B5" t="s">
        <v>3</v>
      </c>
      <c r="C5" t="s">
        <v>30</v>
      </c>
      <c r="I5" t="s">
        <v>22</v>
      </c>
    </row>
    <row r="6" spans="1:10" x14ac:dyDescent="0.4">
      <c r="A6" s="1" t="s">
        <v>31</v>
      </c>
      <c r="B6" t="s">
        <v>3</v>
      </c>
      <c r="C6" t="s">
        <v>32</v>
      </c>
      <c r="I6" t="s">
        <v>22</v>
      </c>
    </row>
    <row r="7" spans="1:10" x14ac:dyDescent="0.4">
      <c r="A7" s="1" t="s">
        <v>33</v>
      </c>
      <c r="B7" t="s">
        <v>3</v>
      </c>
      <c r="C7" t="s">
        <v>34</v>
      </c>
      <c r="I7" t="s">
        <v>22</v>
      </c>
    </row>
    <row r="8" spans="1:10" x14ac:dyDescent="0.4">
      <c r="A8" s="1" t="s">
        <v>35</v>
      </c>
      <c r="B8" t="s">
        <v>3</v>
      </c>
      <c r="C8" t="s">
        <v>36</v>
      </c>
      <c r="I8" t="s">
        <v>22</v>
      </c>
    </row>
    <row r="9" spans="1:10" x14ac:dyDescent="0.4">
      <c r="A9" s="1" t="s">
        <v>37</v>
      </c>
      <c r="B9" t="s">
        <v>3</v>
      </c>
      <c r="C9" t="s">
        <v>38</v>
      </c>
      <c r="I9" t="s">
        <v>22</v>
      </c>
    </row>
    <row r="10" spans="1:10" x14ac:dyDescent="0.4">
      <c r="A10" s="1" t="s">
        <v>39</v>
      </c>
      <c r="B10" t="s">
        <v>3</v>
      </c>
      <c r="C10" t="s">
        <v>42</v>
      </c>
      <c r="I10" t="s">
        <v>22</v>
      </c>
    </row>
    <row r="11" spans="1:10" x14ac:dyDescent="0.4">
      <c r="A11" s="1" t="s">
        <v>40</v>
      </c>
      <c r="B11" t="s">
        <v>3</v>
      </c>
      <c r="C11" t="s">
        <v>41</v>
      </c>
      <c r="I11" t="s">
        <v>22</v>
      </c>
    </row>
    <row r="12" spans="1:10" x14ac:dyDescent="0.4">
      <c r="A12" s="1" t="s">
        <v>2</v>
      </c>
      <c r="B12" t="s">
        <v>3</v>
      </c>
      <c r="C12" t="s">
        <v>6</v>
      </c>
      <c r="D12" t="s">
        <v>8</v>
      </c>
      <c r="E12" t="s">
        <v>10</v>
      </c>
      <c r="H12" t="str">
        <f t="shared" ref="H12:H46" si="0">ToJson(A12,C12,B12,D12:G12)</f>
        <v>{"asin": "B07D15BH9Q","name": "FA:G グライフェン","tags": ["FA:G","FA:G グライフェン","重装甲","近接武装"]}</v>
      </c>
      <c r="I12" t="s">
        <v>22</v>
      </c>
    </row>
    <row r="13" spans="1:10" x14ac:dyDescent="0.4">
      <c r="A13" s="1" t="s">
        <v>18</v>
      </c>
      <c r="B13" t="s">
        <v>3</v>
      </c>
      <c r="C13" t="s">
        <v>19</v>
      </c>
      <c r="D13" t="s">
        <v>8</v>
      </c>
      <c r="E13" t="s">
        <v>20</v>
      </c>
      <c r="H13" t="str">
        <f t="shared" si="0"/>
        <v>{"asin": "B075XFD7ZX","name": "FA:G 白虎","tags": ["FA:G","FA:G 白虎","重装甲","射撃武装"]}</v>
      </c>
      <c r="I13" t="s">
        <v>22</v>
      </c>
    </row>
    <row r="14" spans="1:10" x14ac:dyDescent="0.4">
      <c r="A14" s="1" t="s">
        <v>43</v>
      </c>
      <c r="B14" t="s">
        <v>3</v>
      </c>
      <c r="C14" t="s">
        <v>45</v>
      </c>
      <c r="D14" t="s">
        <v>47</v>
      </c>
      <c r="E14" t="s">
        <v>10</v>
      </c>
      <c r="F14" t="s">
        <v>48</v>
      </c>
      <c r="H14" t="str">
        <f t="shared" si="0"/>
        <v>{"asin": "B01B79CM0I","name": "FA:G 迅雷","tags": ["FA:G","FA:G 迅雷","軽装甲","近接武装","隠密"]}</v>
      </c>
      <c r="I14" t="s">
        <v>22</v>
      </c>
    </row>
    <row r="15" spans="1:10" x14ac:dyDescent="0.4">
      <c r="A15" s="1" t="s">
        <v>44</v>
      </c>
      <c r="B15" t="s">
        <v>3</v>
      </c>
      <c r="C15" t="s">
        <v>46</v>
      </c>
      <c r="D15" t="s">
        <v>47</v>
      </c>
      <c r="E15" t="s">
        <v>10</v>
      </c>
      <c r="F15" t="s">
        <v>48</v>
      </c>
      <c r="H15" t="str">
        <f t="shared" si="0"/>
        <v>{"asin": "B01GBYZKF8","name": "FA:G 迅雷 Indigo Ver.","tags": ["FA:G","FA:G 迅雷 Indigo Ver.","軽装甲","近接武装","隠密"]}</v>
      </c>
      <c r="I15" t="s">
        <v>22</v>
      </c>
    </row>
    <row r="16" spans="1:10" x14ac:dyDescent="0.4">
      <c r="A16" s="1" t="s">
        <v>155</v>
      </c>
      <c r="B16" t="s">
        <v>3</v>
      </c>
      <c r="C16" t="s">
        <v>154</v>
      </c>
      <c r="D16" s="4" t="s">
        <v>13</v>
      </c>
      <c r="E16" t="s">
        <v>10</v>
      </c>
      <c r="H16" t="str">
        <f t="shared" si="0"/>
        <v>{"asin": "B078XYCT72","name": "FA:G フレズヴェルク=インバート","tags": ["FA:G","FA:G フレズヴェルク=インバート","空戦適応","近接武装"]}</v>
      </c>
      <c r="I16" t="s">
        <v>22</v>
      </c>
    </row>
    <row r="17" spans="1:9" x14ac:dyDescent="0.4">
      <c r="B17" t="s">
        <v>3</v>
      </c>
      <c r="H17" t="str">
        <f t="shared" si="0"/>
        <v>{"asin": "","name": "","tags": ["FA:G",""]}</v>
      </c>
    </row>
    <row r="18" spans="1:9" x14ac:dyDescent="0.4">
      <c r="B18" t="s">
        <v>3</v>
      </c>
      <c r="H18" t="str">
        <f t="shared" si="0"/>
        <v>{"asin": "","name": "","tags": ["FA:G",""]}</v>
      </c>
    </row>
    <row r="19" spans="1:9" x14ac:dyDescent="0.4">
      <c r="B19" t="s">
        <v>3</v>
      </c>
      <c r="H19" t="str">
        <f t="shared" si="0"/>
        <v>{"asin": "","name": "","tags": ["FA:G",""]}</v>
      </c>
    </row>
    <row r="20" spans="1:9" x14ac:dyDescent="0.4">
      <c r="B20" t="s">
        <v>3</v>
      </c>
      <c r="H20" t="str">
        <f t="shared" si="0"/>
        <v>{"asin": "","name": "","tags": ["FA:G",""]}</v>
      </c>
    </row>
    <row r="21" spans="1:9" x14ac:dyDescent="0.4">
      <c r="B21" t="s">
        <v>3</v>
      </c>
      <c r="H21" t="str">
        <f t="shared" si="0"/>
        <v>{"asin": "","name": "","tags": ["FA:G",""]}</v>
      </c>
    </row>
    <row r="22" spans="1:9" x14ac:dyDescent="0.4">
      <c r="B22" t="s">
        <v>3</v>
      </c>
      <c r="H22" t="str">
        <f t="shared" si="0"/>
        <v>{"asin": "","name": "","tags": ["FA:G",""]}</v>
      </c>
    </row>
    <row r="23" spans="1:9" x14ac:dyDescent="0.4">
      <c r="A23" s="1" t="s">
        <v>131</v>
      </c>
      <c r="B23" t="s">
        <v>132</v>
      </c>
      <c r="C23" t="s">
        <v>133</v>
      </c>
      <c r="D23" s="4" t="s">
        <v>15</v>
      </c>
      <c r="H23" t="str">
        <f t="shared" ref="H23:H41" si="1">ToJson(A23,C23,B23,D23:G23)</f>
        <v>{"asin": "B01L8GH6BU","name": "メガミ WISM・ソルジャー スナイプ/グラップル","tags": ["メガミデバイス","メガミ WISM・ソルジャー スナイプ/グラップル","素体"]}</v>
      </c>
      <c r="I23" t="s">
        <v>22</v>
      </c>
    </row>
    <row r="24" spans="1:9" x14ac:dyDescent="0.4">
      <c r="A24" s="1" t="s">
        <v>134</v>
      </c>
      <c r="B24" t="s">
        <v>132</v>
      </c>
      <c r="C24" t="s">
        <v>136</v>
      </c>
      <c r="D24" s="4" t="s">
        <v>15</v>
      </c>
      <c r="H24" t="str">
        <f t="shared" si="1"/>
        <v>{"asin": "B01ISZ0TX6","name": "メガミ WISM・ソルジャー アサルト/スカウト","tags": ["メガミデバイス","メガミ WISM・ソルジャー アサルト/スカウト","素体"]}</v>
      </c>
      <c r="I24" t="s">
        <v>22</v>
      </c>
    </row>
    <row r="25" spans="1:9" x14ac:dyDescent="0.4">
      <c r="A25" s="1" t="s">
        <v>138</v>
      </c>
      <c r="B25" t="s">
        <v>132</v>
      </c>
      <c r="C25" t="s">
        <v>137</v>
      </c>
      <c r="D25" s="4" t="s">
        <v>13</v>
      </c>
      <c r="E25" t="s">
        <v>11</v>
      </c>
      <c r="H25" t="str">
        <f t="shared" si="1"/>
        <v>{"asin": "B01MY9XU3I","name": "メガミ SOLホーネット","tags": ["メガミデバイス","メガミ SOLホーネット","空戦適応","射撃武装"]}</v>
      </c>
      <c r="I25" t="s">
        <v>22</v>
      </c>
    </row>
    <row r="26" spans="1:9" x14ac:dyDescent="0.4">
      <c r="A26" s="1" t="s">
        <v>140</v>
      </c>
      <c r="B26" t="s">
        <v>132</v>
      </c>
      <c r="C26" t="s">
        <v>139</v>
      </c>
      <c r="D26" s="4" t="s">
        <v>12</v>
      </c>
      <c r="E26" t="s">
        <v>10</v>
      </c>
      <c r="H26" t="str">
        <f t="shared" si="1"/>
        <v>{"asin": "B06W2PGCRS","name": "メガミ SOLロードランナー ","tags": ["メガミデバイス","メガミ SOLロードランナー ","陸戦適応","近接武装"]}</v>
      </c>
      <c r="I26" t="s">
        <v>22</v>
      </c>
    </row>
    <row r="27" spans="1:9" x14ac:dyDescent="0.4">
      <c r="A27" s="1" t="s">
        <v>142</v>
      </c>
      <c r="B27" t="s">
        <v>132</v>
      </c>
      <c r="C27" t="s">
        <v>141</v>
      </c>
      <c r="D27" t="s">
        <v>11</v>
      </c>
      <c r="H27" t="str">
        <f t="shared" si="1"/>
        <v>{"asin": "B074W28LJX","name": "メガミ 朱羅 弓兵","tags": ["メガミデバイス","メガミ 朱羅 弓兵","射撃武装"]}</v>
      </c>
      <c r="I27" t="s">
        <v>22</v>
      </c>
    </row>
    <row r="28" spans="1:9" x14ac:dyDescent="0.4">
      <c r="A28" s="1" t="s">
        <v>144</v>
      </c>
      <c r="B28" t="s">
        <v>132</v>
      </c>
      <c r="C28" t="s">
        <v>143</v>
      </c>
      <c r="D28" t="s">
        <v>10</v>
      </c>
      <c r="E28" t="s">
        <v>48</v>
      </c>
      <c r="H28" t="str">
        <f t="shared" si="1"/>
        <v>{"asin": "B074DZFDYV","name": "メガミ 朱羅 忍者","tags": ["メガミデバイス","メガミ 朱羅 忍者","近接武装","隠密"]}</v>
      </c>
      <c r="I28" t="s">
        <v>22</v>
      </c>
    </row>
    <row r="29" spans="1:9" x14ac:dyDescent="0.4">
      <c r="A29" s="1" t="s">
        <v>146</v>
      </c>
      <c r="B29" t="s">
        <v>132</v>
      </c>
      <c r="C29" t="s">
        <v>145</v>
      </c>
      <c r="D29" t="s">
        <v>10</v>
      </c>
      <c r="E29" t="s">
        <v>48</v>
      </c>
      <c r="H29" t="str">
        <f t="shared" si="1"/>
        <v>{"asin": "B07BBTLQ3W","name": "メガミ 朱羅 忍者 蒼衣","tags": ["メガミデバイス","メガミ 朱羅 忍者 蒼衣","近接武装","隠密"]}</v>
      </c>
      <c r="I29" t="s">
        <v>22</v>
      </c>
    </row>
    <row r="30" spans="1:9" x14ac:dyDescent="0.4">
      <c r="A30" s="1" t="s">
        <v>148</v>
      </c>
      <c r="B30" t="s">
        <v>132</v>
      </c>
      <c r="C30" t="s">
        <v>147</v>
      </c>
      <c r="D30" t="s">
        <v>11</v>
      </c>
      <c r="H30" t="str">
        <f t="shared" si="1"/>
        <v>{"asin": "B07C31H8M4","name": "メガミ 朱羅 弓兵 蒼衣","tags": ["メガミデバイス","メガミ 朱羅 弓兵 蒼衣","射撃武装"]}</v>
      </c>
      <c r="I30" t="s">
        <v>22</v>
      </c>
    </row>
    <row r="31" spans="1:9" x14ac:dyDescent="0.4">
      <c r="A31" s="1" t="s">
        <v>150</v>
      </c>
      <c r="B31" t="s">
        <v>132</v>
      </c>
      <c r="C31" t="s">
        <v>149</v>
      </c>
      <c r="D31" s="4" t="s">
        <v>13</v>
      </c>
      <c r="E31" t="s">
        <v>11</v>
      </c>
      <c r="H31" t="str">
        <f t="shared" si="1"/>
        <v>{"asin": "B079X5RXVG","name": "メガミ Chaos &amp; Pretty ウィッチ","tags": ["メガミデバイス","メガミ Chaos &amp; Pretty ウィッチ","空戦適応","射撃武装"]}</v>
      </c>
      <c r="I31" t="s">
        <v>22</v>
      </c>
    </row>
    <row r="32" spans="1:9" x14ac:dyDescent="0.4">
      <c r="A32" s="1" t="s">
        <v>152</v>
      </c>
      <c r="B32" t="s">
        <v>132</v>
      </c>
      <c r="C32" t="s">
        <v>151</v>
      </c>
      <c r="D32" s="4" t="s">
        <v>13</v>
      </c>
      <c r="E32" t="s">
        <v>153</v>
      </c>
      <c r="H32" t="str">
        <f t="shared" si="1"/>
        <v>{"asin": "B0793KDFM5","name": "メガミ Chaos &amp; Pretty マジカルガール ","tags": ["メガミデバイス","メガミ Chaos &amp; Pretty マジカルガール ","空戦適応","近接武装"]}</v>
      </c>
      <c r="I32" t="s">
        <v>22</v>
      </c>
    </row>
    <row r="33" spans="1:10" x14ac:dyDescent="0.4">
      <c r="B33" t="s">
        <v>132</v>
      </c>
      <c r="C33" t="s">
        <v>135</v>
      </c>
      <c r="H33" t="str">
        <f t="shared" si="1"/>
        <v>{"asin": "","name": "メガミ ","tags": ["メガミデバイス","メガミ "]}</v>
      </c>
    </row>
    <row r="34" spans="1:10" x14ac:dyDescent="0.4">
      <c r="B34" t="s">
        <v>132</v>
      </c>
      <c r="C34" t="s">
        <v>135</v>
      </c>
      <c r="H34" t="str">
        <f t="shared" si="1"/>
        <v>{"asin": "","name": "メガミ ","tags": ["メガミデバイス","メガミ "]}</v>
      </c>
    </row>
    <row r="35" spans="1:10" x14ac:dyDescent="0.4">
      <c r="B35" t="s">
        <v>132</v>
      </c>
      <c r="C35" t="s">
        <v>135</v>
      </c>
      <c r="H35" t="str">
        <f t="shared" si="1"/>
        <v>{"asin": "","name": "メガミ ","tags": ["メガミデバイス","メガミ "]}</v>
      </c>
    </row>
    <row r="36" spans="1:10" x14ac:dyDescent="0.4">
      <c r="B36" t="s">
        <v>132</v>
      </c>
      <c r="C36" t="s">
        <v>135</v>
      </c>
      <c r="H36" t="str">
        <f t="shared" si="1"/>
        <v>{"asin": "","name": "メガミ ","tags": ["メガミデバイス","メガミ "]}</v>
      </c>
    </row>
    <row r="37" spans="1:10" x14ac:dyDescent="0.4">
      <c r="H37" t="str">
        <f t="shared" si="1"/>
        <v>{"asin": "","name": "","tags": ["",""]}</v>
      </c>
    </row>
    <row r="38" spans="1:10" x14ac:dyDescent="0.4">
      <c r="H38" t="str">
        <f t="shared" si="1"/>
        <v>{"asin": "","name": "","tags": ["",""]}</v>
      </c>
    </row>
    <row r="39" spans="1:10" x14ac:dyDescent="0.4">
      <c r="H39" t="str">
        <f t="shared" si="1"/>
        <v>{"asin": "","name": "","tags": ["",""]}</v>
      </c>
    </row>
    <row r="40" spans="1:10" x14ac:dyDescent="0.4">
      <c r="H40" t="str">
        <f t="shared" si="1"/>
        <v>{"asin": "","name": "","tags": ["",""]}</v>
      </c>
    </row>
    <row r="41" spans="1:10" x14ac:dyDescent="0.4">
      <c r="H41" t="str">
        <f t="shared" si="1"/>
        <v>{"asin": "","name": "","tags": ["",""]}</v>
      </c>
    </row>
    <row r="42" spans="1:10" x14ac:dyDescent="0.4">
      <c r="H42" t="str">
        <f t="shared" si="0"/>
        <v>{"asin": "","name": "","tags": ["",""]}</v>
      </c>
    </row>
    <row r="43" spans="1:10" x14ac:dyDescent="0.4">
      <c r="H43" t="str">
        <f t="shared" si="0"/>
        <v>{"asin": "","name": "","tags": ["",""]}</v>
      </c>
    </row>
    <row r="44" spans="1:10" x14ac:dyDescent="0.4">
      <c r="A44" s="1" t="s">
        <v>105</v>
      </c>
      <c r="B44" t="s">
        <v>49</v>
      </c>
      <c r="C44" t="s">
        <v>50</v>
      </c>
      <c r="D44" t="s">
        <v>8</v>
      </c>
      <c r="E44" t="s">
        <v>99</v>
      </c>
      <c r="H44" t="str">
        <f t="shared" si="0"/>
        <v>{"asin": "B00030EVBQ","name": "HGUC RX-77-2 ガンキャノン","tags": ["HGUC","HGUC RX-77-2 ガンキャノン","重装甲","砲撃武装"]}</v>
      </c>
      <c r="I44" t="s">
        <v>22</v>
      </c>
    </row>
    <row r="45" spans="1:10" s="3" customFormat="1" x14ac:dyDescent="0.4">
      <c r="A45" s="2" t="s">
        <v>107</v>
      </c>
      <c r="B45" s="3" t="s">
        <v>49</v>
      </c>
      <c r="C45" s="3" t="s">
        <v>106</v>
      </c>
      <c r="D45" s="3" t="s">
        <v>100</v>
      </c>
      <c r="H45" s="3" t="str">
        <f t="shared" si="0"/>
        <v>{"asin": "B00030EV84","name": "HGUC YMS-15 ギャン","tags": ["HGUC","HGUC YMS-15 ギャン","近接武装"]}</v>
      </c>
      <c r="J45" s="3" t="s">
        <v>108</v>
      </c>
    </row>
    <row r="46" spans="1:10" s="3" customFormat="1" x14ac:dyDescent="0.4">
      <c r="A46" s="2"/>
      <c r="B46" s="3" t="s">
        <v>49</v>
      </c>
      <c r="C46" s="3" t="s">
        <v>51</v>
      </c>
      <c r="D46" s="3" t="s">
        <v>8</v>
      </c>
      <c r="H46" s="3" t="str">
        <f t="shared" si="0"/>
        <v>{"asin": "","name": "HGUC AMX-011S ザクIII改","tags": ["HGUC","HGUC AMX-011S ザクIII改","重装甲"]}</v>
      </c>
    </row>
    <row r="47" spans="1:10" s="3" customFormat="1" x14ac:dyDescent="0.4">
      <c r="A47" s="2"/>
      <c r="B47" s="3" t="s">
        <v>49</v>
      </c>
      <c r="C47" s="3" t="s">
        <v>52</v>
      </c>
      <c r="D47" s="3" t="s">
        <v>101</v>
      </c>
      <c r="H47" s="3" t="str">
        <f t="shared" ref="H47:H61" si="2">ToJson(A47,C47,B47,D47:G47)</f>
        <v>{"asin": "","name": "HGUC AMX-004 キュベレイ","tags": ["HGUC","HGUC AMX-004 キュベレイ","高機動"]}</v>
      </c>
    </row>
    <row r="48" spans="1:10" s="3" customFormat="1" x14ac:dyDescent="0.4">
      <c r="A48" s="2"/>
      <c r="B48" s="3" t="s">
        <v>49</v>
      </c>
      <c r="C48" s="3" t="s">
        <v>53</v>
      </c>
      <c r="D48" s="3" t="s">
        <v>101</v>
      </c>
      <c r="H48" s="3" t="str">
        <f t="shared" si="2"/>
        <v>{"asin": "","name": "HGUC MSN-00100 百式","tags": ["HGUC","HGUC MSN-00100 百式","高機動"]}</v>
      </c>
    </row>
    <row r="49" spans="1:8" s="3" customFormat="1" x14ac:dyDescent="0.4">
      <c r="A49" s="2"/>
      <c r="B49" s="3" t="s">
        <v>49</v>
      </c>
      <c r="C49" s="3" t="s">
        <v>54</v>
      </c>
      <c r="D49" s="3" t="s">
        <v>102</v>
      </c>
      <c r="E49" s="3" t="s">
        <v>100</v>
      </c>
      <c r="H49" s="3" t="str">
        <f t="shared" si="2"/>
        <v>{"asin": "","name": "HGUC MSM-07 ズゴック","tags": ["HGUC","HGUC MSM-07 ズゴック","海戦適応","近接武装"]}</v>
      </c>
    </row>
    <row r="50" spans="1:8" s="3" customFormat="1" x14ac:dyDescent="0.4">
      <c r="A50" s="2"/>
      <c r="B50" s="3" t="s">
        <v>49</v>
      </c>
      <c r="C50" s="3" t="s">
        <v>55</v>
      </c>
      <c r="D50" s="3" t="s">
        <v>103</v>
      </c>
      <c r="E50" s="3" t="s">
        <v>99</v>
      </c>
      <c r="F50" s="3" t="s">
        <v>104</v>
      </c>
      <c r="H50" s="3" t="str">
        <f t="shared" si="2"/>
        <v>{"asin": "","name": "HGUC RX-75 ガンタンク","tags": ["HGUC","HGUC RX-75 ガンタンク","陸戦適応","砲撃武装","低機動"]}</v>
      </c>
    </row>
    <row r="51" spans="1:8" s="3" customFormat="1" x14ac:dyDescent="0.4">
      <c r="A51" s="2"/>
      <c r="B51" s="3" t="s">
        <v>49</v>
      </c>
      <c r="C51" s="3" t="s">
        <v>56</v>
      </c>
      <c r="D51" s="3" t="s">
        <v>102</v>
      </c>
      <c r="E51" s="3" t="s">
        <v>8</v>
      </c>
      <c r="H51" s="3" t="str">
        <f t="shared" si="2"/>
        <v>{"asin": "","name": "HGUC MSM-03 ゴッグ","tags": ["HGUC","HGUC MSM-03 ゴッグ","海戦適応","重装甲"]}</v>
      </c>
    </row>
    <row r="52" spans="1:8" s="3" customFormat="1" x14ac:dyDescent="0.4">
      <c r="A52" s="2"/>
      <c r="B52" s="3" t="s">
        <v>49</v>
      </c>
      <c r="C52" s="3" t="s">
        <v>57</v>
      </c>
      <c r="D52" s="3" t="s">
        <v>100</v>
      </c>
      <c r="H52" s="3" t="str">
        <f t="shared" si="2"/>
        <v>{"asin": "","name": "HGUC MS-07B グフ","tags": ["HGUC","HGUC MS-07B グフ","近接武装"]}</v>
      </c>
    </row>
    <row r="53" spans="1:8" s="3" customFormat="1" x14ac:dyDescent="0.4">
      <c r="A53" s="2"/>
      <c r="B53" s="3" t="s">
        <v>49</v>
      </c>
      <c r="C53" s="3" t="s">
        <v>58</v>
      </c>
      <c r="D53" s="3" t="s">
        <v>8</v>
      </c>
      <c r="H53" s="3" t="str">
        <f t="shared" si="2"/>
        <v>{"asin": "","name": "HGUC RMS-099 リックディアス","tags": ["HGUC","HGUC RMS-099 リックディアス","重装甲"]}</v>
      </c>
    </row>
    <row r="54" spans="1:8" s="3" customFormat="1" x14ac:dyDescent="0.4">
      <c r="A54" s="2"/>
      <c r="B54" s="3" t="s">
        <v>49</v>
      </c>
      <c r="C54" s="3" t="s">
        <v>59</v>
      </c>
      <c r="D54" s="3" t="s">
        <v>101</v>
      </c>
      <c r="H54" s="3" t="str">
        <f t="shared" si="2"/>
        <v>{"asin": "","name": "HGUC AMX-004-2 キュベレイMk-II","tags": ["HGUC","HGUC AMX-004-2 キュベレイMk-II","高機動"]}</v>
      </c>
    </row>
    <row r="55" spans="1:8" s="3" customFormat="1" x14ac:dyDescent="0.4">
      <c r="A55" s="2"/>
      <c r="B55" s="3" t="s">
        <v>49</v>
      </c>
      <c r="C55" s="3" t="s">
        <v>60</v>
      </c>
      <c r="H55" s="3" t="str">
        <f t="shared" si="2"/>
        <v>{"asin": "","name": "HGUC RMS-106 ハイザック","tags": ["HGUC","HGUC RMS-106 ハイザック"]}</v>
      </c>
    </row>
    <row r="56" spans="1:8" s="3" customFormat="1" x14ac:dyDescent="0.4">
      <c r="A56" s="2"/>
      <c r="B56" s="3" t="s">
        <v>49</v>
      </c>
      <c r="C56" s="3" t="s">
        <v>61</v>
      </c>
      <c r="H56" s="3" t="str">
        <f t="shared" si="2"/>
        <v>{"asin": "","name": "HGUC RX-78GP01 ガンダムGP01 ゼフィランサス","tags": ["HGUC","HGUC RX-78GP01 ガンダムGP01 ゼフィランサス"]}</v>
      </c>
    </row>
    <row r="57" spans="1:8" s="3" customFormat="1" x14ac:dyDescent="0.4">
      <c r="A57" s="2"/>
      <c r="B57" s="3" t="s">
        <v>49</v>
      </c>
      <c r="C57" s="3" t="s">
        <v>62</v>
      </c>
      <c r="D57" s="3" t="s">
        <v>8</v>
      </c>
      <c r="H57" s="3" t="str">
        <f t="shared" si="2"/>
        <v>{"asin": "","name": "HGUC AMX-011 ザクIII","tags": ["HGUC","HGUC AMX-011 ザクIII","重装甲"]}</v>
      </c>
    </row>
    <row r="58" spans="1:8" s="3" customFormat="1" x14ac:dyDescent="0.4">
      <c r="A58" s="2"/>
      <c r="B58" s="3" t="s">
        <v>49</v>
      </c>
      <c r="C58" s="3" t="s">
        <v>63</v>
      </c>
      <c r="D58" s="3" t="s">
        <v>101</v>
      </c>
      <c r="H58" s="3" t="str">
        <f t="shared" si="2"/>
        <v>{"asin": "","name": "HGUC AMX-107 バウ","tags": ["HGUC","HGUC AMX-107 バウ","高機動"]}</v>
      </c>
    </row>
    <row r="59" spans="1:8" s="3" customFormat="1" x14ac:dyDescent="0.4">
      <c r="A59" s="2"/>
      <c r="B59" s="3" t="s">
        <v>49</v>
      </c>
      <c r="C59" s="3" t="s">
        <v>64</v>
      </c>
      <c r="H59" s="3" t="str">
        <f t="shared" si="2"/>
        <v>{"asin": "","name": "HGUC MS-14F ゲルググマリーネ","tags": ["HGUC","HGUC MS-14F ゲルググマリーネ"]}</v>
      </c>
    </row>
    <row r="60" spans="1:8" s="3" customFormat="1" x14ac:dyDescent="0.4">
      <c r="A60" s="2"/>
      <c r="B60" s="3" t="s">
        <v>49</v>
      </c>
      <c r="C60" s="3" t="s">
        <v>65</v>
      </c>
      <c r="D60" s="3" t="s">
        <v>103</v>
      </c>
      <c r="H60" s="3" t="str">
        <f t="shared" si="2"/>
        <v>{"asin": "","name": "HGUC MS-09F ドムトローペン","tags": ["HGUC","HGUC MS-09F ドムトローペン","陸戦適応"]}</v>
      </c>
    </row>
    <row r="61" spans="1:8" s="3" customFormat="1" x14ac:dyDescent="0.4">
      <c r="A61" s="2"/>
      <c r="B61" s="3" t="s">
        <v>49</v>
      </c>
      <c r="C61" s="3" t="s">
        <v>66</v>
      </c>
      <c r="D61" s="3" t="s">
        <v>101</v>
      </c>
      <c r="H61" s="3" t="str">
        <f t="shared" si="2"/>
        <v>{"asin": "","name": "HGUC RX-78GP01Fb ガンダムGP01Fb フルバーニアン","tags": ["HGUC","HGUC RX-78GP01Fb ガンダムGP01Fb フルバーニアン","高機動"]}</v>
      </c>
    </row>
    <row r="62" spans="1:8" s="3" customFormat="1" x14ac:dyDescent="0.4">
      <c r="A62" s="2"/>
      <c r="B62" s="3" t="s">
        <v>49</v>
      </c>
      <c r="C62" s="3" t="s">
        <v>67</v>
      </c>
      <c r="H62" s="3" t="str">
        <f>ToJson(A62,C62,B62,D62:G62)</f>
        <v>{"asin": "","name": "HGUC MSM-07S シャア専用ズゴック","tags": ["HGUC","HGUC MSM-07S シャア専用ズゴック"]}</v>
      </c>
    </row>
    <row r="63" spans="1:8" s="3" customFormat="1" x14ac:dyDescent="0.4">
      <c r="A63" s="2"/>
      <c r="B63" s="3" t="s">
        <v>49</v>
      </c>
      <c r="C63" s="3" t="s">
        <v>68</v>
      </c>
      <c r="H63" s="3" t="str">
        <f>ToJson(A63,C63,B63,D63:G63)</f>
        <v>{"asin": "","name": "HGUC RGM-79 ジム","tags": ["HGUC","HGUC RGM-79 ジム"]}</v>
      </c>
    </row>
    <row r="64" spans="1:8" s="3" customFormat="1" x14ac:dyDescent="0.4">
      <c r="A64" s="2"/>
      <c r="B64" s="3" t="s">
        <v>49</v>
      </c>
      <c r="C64" s="3" t="s">
        <v>69</v>
      </c>
      <c r="H64" s="3" t="str">
        <f>ToJson(A64,C64,B64,D64:G64)</f>
        <v>{"asin": "","name": "HGUC RX-78-2 ガンダム","tags": ["HGUC","HGUC RX-78-2 ガンダム"]}</v>
      </c>
    </row>
    <row r="65" spans="1:3" s="3" customFormat="1" x14ac:dyDescent="0.4">
      <c r="A65" s="2"/>
      <c r="B65" s="3" t="s">
        <v>49</v>
      </c>
      <c r="C65" s="3" t="s">
        <v>70</v>
      </c>
    </row>
    <row r="66" spans="1:3" s="3" customFormat="1" x14ac:dyDescent="0.4">
      <c r="A66" s="2"/>
      <c r="B66" s="3" t="s">
        <v>49</v>
      </c>
      <c r="C66" s="3" t="s">
        <v>71</v>
      </c>
    </row>
    <row r="67" spans="1:3" s="3" customFormat="1" x14ac:dyDescent="0.4">
      <c r="A67" s="2"/>
      <c r="B67" s="3" t="s">
        <v>49</v>
      </c>
      <c r="C67" s="3" t="s">
        <v>72</v>
      </c>
    </row>
    <row r="68" spans="1:3" s="3" customFormat="1" x14ac:dyDescent="0.4">
      <c r="A68" s="2"/>
      <c r="B68" s="3" t="s">
        <v>49</v>
      </c>
      <c r="C68" s="3" t="s">
        <v>73</v>
      </c>
    </row>
    <row r="69" spans="1:3" s="3" customFormat="1" x14ac:dyDescent="0.4">
      <c r="A69" s="2"/>
      <c r="B69" s="3" t="s">
        <v>49</v>
      </c>
      <c r="C69" s="3" t="s">
        <v>74</v>
      </c>
    </row>
    <row r="70" spans="1:3" s="3" customFormat="1" x14ac:dyDescent="0.4">
      <c r="A70" s="2"/>
      <c r="B70" s="3" t="s">
        <v>49</v>
      </c>
      <c r="C70" s="3" t="s">
        <v>75</v>
      </c>
    </row>
    <row r="71" spans="1:3" s="3" customFormat="1" x14ac:dyDescent="0.4">
      <c r="A71" s="2"/>
      <c r="B71" s="3" t="s">
        <v>49</v>
      </c>
      <c r="C71" s="3" t="s">
        <v>76</v>
      </c>
    </row>
    <row r="72" spans="1:3" s="3" customFormat="1" x14ac:dyDescent="0.4">
      <c r="A72" s="2"/>
      <c r="B72" s="3" t="s">
        <v>49</v>
      </c>
      <c r="C72" s="3" t="s">
        <v>77</v>
      </c>
    </row>
    <row r="73" spans="1:3" s="3" customFormat="1" x14ac:dyDescent="0.4">
      <c r="A73" s="2"/>
      <c r="B73" s="3" t="s">
        <v>49</v>
      </c>
      <c r="C73" s="3" t="s">
        <v>78</v>
      </c>
    </row>
    <row r="74" spans="1:3" s="3" customFormat="1" x14ac:dyDescent="0.4">
      <c r="A74" s="2"/>
      <c r="B74" s="3" t="s">
        <v>49</v>
      </c>
      <c r="C74" s="3" t="s">
        <v>79</v>
      </c>
    </row>
    <row r="75" spans="1:3" s="3" customFormat="1" x14ac:dyDescent="0.4">
      <c r="A75" s="2"/>
      <c r="B75" s="3" t="s">
        <v>49</v>
      </c>
      <c r="C75" s="3" t="s">
        <v>80</v>
      </c>
    </row>
    <row r="76" spans="1:3" s="3" customFormat="1" x14ac:dyDescent="0.4">
      <c r="A76" s="2"/>
      <c r="B76" s="3" t="s">
        <v>49</v>
      </c>
      <c r="C76" s="3" t="s">
        <v>81</v>
      </c>
    </row>
    <row r="77" spans="1:3" s="3" customFormat="1" x14ac:dyDescent="0.4">
      <c r="A77" s="2"/>
      <c r="B77" s="3" t="s">
        <v>49</v>
      </c>
      <c r="C77" s="3" t="s">
        <v>82</v>
      </c>
    </row>
    <row r="78" spans="1:3" s="3" customFormat="1" x14ac:dyDescent="0.4">
      <c r="A78" s="2"/>
      <c r="B78" s="3" t="s">
        <v>49</v>
      </c>
      <c r="C78" s="3" t="s">
        <v>83</v>
      </c>
    </row>
    <row r="79" spans="1:3" s="3" customFormat="1" x14ac:dyDescent="0.4">
      <c r="A79" s="2"/>
      <c r="B79" s="3" t="s">
        <v>49</v>
      </c>
      <c r="C79" s="3" t="s">
        <v>84</v>
      </c>
    </row>
    <row r="80" spans="1:3" s="3" customFormat="1" x14ac:dyDescent="0.4">
      <c r="A80" s="2"/>
      <c r="B80" s="3" t="s">
        <v>49</v>
      </c>
      <c r="C80" s="3" t="s">
        <v>85</v>
      </c>
    </row>
    <row r="81" spans="1:3" s="3" customFormat="1" x14ac:dyDescent="0.4">
      <c r="A81" s="2"/>
      <c r="B81" s="3" t="s">
        <v>49</v>
      </c>
      <c r="C81" s="3" t="s">
        <v>86</v>
      </c>
    </row>
    <row r="82" spans="1:3" s="3" customFormat="1" x14ac:dyDescent="0.4">
      <c r="A82" s="2"/>
      <c r="B82" s="3" t="s">
        <v>49</v>
      </c>
      <c r="C82" s="3" t="s">
        <v>87</v>
      </c>
    </row>
    <row r="83" spans="1:3" s="3" customFormat="1" x14ac:dyDescent="0.4">
      <c r="A83" s="2"/>
      <c r="B83" s="3" t="s">
        <v>49</v>
      </c>
      <c r="C83" s="3" t="s">
        <v>88</v>
      </c>
    </row>
    <row r="84" spans="1:3" s="3" customFormat="1" x14ac:dyDescent="0.4">
      <c r="A84" s="2"/>
      <c r="B84" s="3" t="s">
        <v>49</v>
      </c>
      <c r="C84" s="3" t="s">
        <v>89</v>
      </c>
    </row>
    <row r="85" spans="1:3" s="3" customFormat="1" x14ac:dyDescent="0.4">
      <c r="A85" s="2"/>
      <c r="B85" s="3" t="s">
        <v>49</v>
      </c>
      <c r="C85" s="3" t="s">
        <v>90</v>
      </c>
    </row>
    <row r="86" spans="1:3" s="3" customFormat="1" x14ac:dyDescent="0.4">
      <c r="A86" s="2"/>
      <c r="B86" s="3" t="s">
        <v>49</v>
      </c>
      <c r="C86" s="3" t="s">
        <v>91</v>
      </c>
    </row>
    <row r="87" spans="1:3" s="3" customFormat="1" x14ac:dyDescent="0.4">
      <c r="A87" s="2"/>
      <c r="B87" s="3" t="s">
        <v>49</v>
      </c>
      <c r="C87" s="3" t="s">
        <v>92</v>
      </c>
    </row>
    <row r="88" spans="1:3" s="3" customFormat="1" x14ac:dyDescent="0.4">
      <c r="A88" s="2"/>
      <c r="B88" s="3" t="s">
        <v>49</v>
      </c>
      <c r="C88" s="3" t="s">
        <v>93</v>
      </c>
    </row>
    <row r="89" spans="1:3" s="3" customFormat="1" x14ac:dyDescent="0.4">
      <c r="A89" s="2"/>
      <c r="B89" s="3" t="s">
        <v>49</v>
      </c>
      <c r="C89" s="3" t="s">
        <v>94</v>
      </c>
    </row>
    <row r="90" spans="1:3" s="3" customFormat="1" x14ac:dyDescent="0.4">
      <c r="A90" s="2"/>
      <c r="B90" s="3" t="s">
        <v>49</v>
      </c>
      <c r="C90" s="3" t="s">
        <v>95</v>
      </c>
    </row>
    <row r="91" spans="1:3" s="3" customFormat="1" x14ac:dyDescent="0.4">
      <c r="A91" s="2"/>
      <c r="B91" s="3" t="s">
        <v>49</v>
      </c>
      <c r="C91" s="3" t="s">
        <v>96</v>
      </c>
    </row>
    <row r="92" spans="1:3" s="3" customFormat="1" x14ac:dyDescent="0.4">
      <c r="A92" s="2"/>
      <c r="B92" s="3" t="s">
        <v>49</v>
      </c>
      <c r="C92" s="3" t="s">
        <v>97</v>
      </c>
    </row>
    <row r="93" spans="1:3" s="3" customFormat="1" x14ac:dyDescent="0.4">
      <c r="A93" s="2"/>
      <c r="B93" s="3" t="s">
        <v>49</v>
      </c>
      <c r="C93" s="3" t="s">
        <v>98</v>
      </c>
    </row>
  </sheetData>
  <phoneticPr fontId="1"/>
  <conditionalFormatting sqref="D32">
    <cfRule type="expression" dxfId="6" priority="6">
      <formula>$H32="×"</formula>
    </cfRule>
  </conditionalFormatting>
  <conditionalFormatting sqref="D31">
    <cfRule type="expression" dxfId="5" priority="5">
      <formula>$H31="×"</formula>
    </cfRule>
  </conditionalFormatting>
  <conditionalFormatting sqref="D25">
    <cfRule type="expression" dxfId="4" priority="4">
      <formula>$H25="×"</formula>
    </cfRule>
  </conditionalFormatting>
  <conditionalFormatting sqref="D23:D24">
    <cfRule type="expression" dxfId="3" priority="3">
      <formula>$H23="×"</formula>
    </cfRule>
  </conditionalFormatting>
  <conditionalFormatting sqref="D26">
    <cfRule type="expression" dxfId="2" priority="2">
      <formula>$H26="×"</formula>
    </cfRule>
  </conditionalFormatting>
  <conditionalFormatting sqref="D16">
    <cfRule type="expression" dxfId="1" priority="1">
      <formula>$H16="×"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C5D97-7C69-4774-AB7A-5D0747DDD727}">
  <sheetPr codeName="Sheet2"/>
  <dimension ref="A1:K16"/>
  <sheetViews>
    <sheetView tabSelected="1"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3.875" style="1" bestFit="1" customWidth="1"/>
    <col min="2" max="2" width="36.125" style="1" bestFit="1" customWidth="1"/>
    <col min="3" max="3" width="15.125" style="4" bestFit="1" customWidth="1"/>
    <col min="4" max="4" width="10.875" style="4" bestFit="1" customWidth="1"/>
    <col min="5" max="5" width="14.5" style="4" bestFit="1" customWidth="1"/>
    <col min="6" max="6" width="11.75" style="4" bestFit="1" customWidth="1"/>
    <col min="7" max="9" width="10.625" style="4" customWidth="1"/>
    <col min="10" max="10" width="7.25" style="4" bestFit="1" customWidth="1"/>
    <col min="11" max="11" width="35.875" style="5" bestFit="1" customWidth="1"/>
  </cols>
  <sheetData>
    <row r="1" spans="1:11" x14ac:dyDescent="0.4">
      <c r="A1" s="1" t="s">
        <v>157</v>
      </c>
      <c r="B1" s="1" t="s">
        <v>158</v>
      </c>
      <c r="C1" s="4" t="s">
        <v>9</v>
      </c>
      <c r="D1" s="4" t="s">
        <v>110</v>
      </c>
      <c r="E1" s="4" t="s">
        <v>111</v>
      </c>
      <c r="F1" s="4" t="s">
        <v>121</v>
      </c>
      <c r="G1" s="4" t="s">
        <v>118</v>
      </c>
      <c r="H1" s="4" t="s">
        <v>119</v>
      </c>
      <c r="I1" s="4" t="s">
        <v>120</v>
      </c>
      <c r="J1" s="4" t="s">
        <v>126</v>
      </c>
      <c r="K1" s="5" t="s">
        <v>127</v>
      </c>
    </row>
    <row r="2" spans="1:11" x14ac:dyDescent="0.4">
      <c r="A2" s="1" t="str">
        <f>D2</f>
        <v>Attribute</v>
      </c>
      <c r="B2" s="1" t="str">
        <f>HashString(C2)</f>
        <v>89ba36e29c85e8373b76d2947886a39e</v>
      </c>
      <c r="C2" s="4" t="s">
        <v>7</v>
      </c>
      <c r="D2" s="4" t="s">
        <v>115</v>
      </c>
      <c r="E2" s="4" t="s">
        <v>116</v>
      </c>
      <c r="F2" s="4" t="b">
        <v>1</v>
      </c>
      <c r="G2" s="4">
        <v>-50</v>
      </c>
      <c r="H2" s="4">
        <v>0</v>
      </c>
      <c r="I2" s="4">
        <v>200</v>
      </c>
    </row>
    <row r="3" spans="1:11" x14ac:dyDescent="0.4">
      <c r="A3" s="1" t="str">
        <f t="shared" ref="A3:A16" si="0">D3</f>
        <v>Attribute</v>
      </c>
      <c r="B3" s="1" t="str">
        <f>HashString(C3)</f>
        <v>c7f674fc2f5944cf841f37b23b6e31fd</v>
      </c>
      <c r="C3" s="4" t="s">
        <v>8</v>
      </c>
      <c r="D3" s="4" t="s">
        <v>115</v>
      </c>
      <c r="E3" s="4" t="s">
        <v>116</v>
      </c>
      <c r="F3" s="4" t="b">
        <v>1</v>
      </c>
      <c r="G3" s="4">
        <v>200</v>
      </c>
      <c r="H3" s="4">
        <v>0</v>
      </c>
      <c r="I3" s="4">
        <v>-50</v>
      </c>
    </row>
    <row r="4" spans="1:11" x14ac:dyDescent="0.4">
      <c r="A4" s="1" t="str">
        <f t="shared" si="0"/>
        <v>Attribute</v>
      </c>
      <c r="B4" s="1" t="str">
        <f>HashString(C4)</f>
        <v>5e54572033201f755261b8ba47c20043</v>
      </c>
      <c r="C4" s="4" t="s">
        <v>10</v>
      </c>
      <c r="D4" s="4" t="s">
        <v>115</v>
      </c>
      <c r="E4" s="4" t="s">
        <v>122</v>
      </c>
      <c r="G4" s="4">
        <v>0</v>
      </c>
      <c r="H4" s="4">
        <v>100</v>
      </c>
      <c r="I4" s="4">
        <v>50</v>
      </c>
    </row>
    <row r="5" spans="1:11" x14ac:dyDescent="0.4">
      <c r="A5" s="1" t="str">
        <f t="shared" si="0"/>
        <v>Attribute</v>
      </c>
      <c r="B5" s="1" t="str">
        <f>HashString(C5)</f>
        <v>f4b5c86f3451742ca4763f60f18d8c38</v>
      </c>
      <c r="C5" s="4" t="s">
        <v>11</v>
      </c>
      <c r="D5" s="4" t="s">
        <v>115</v>
      </c>
      <c r="E5" s="4" t="s">
        <v>122</v>
      </c>
      <c r="G5" s="4">
        <v>0</v>
      </c>
      <c r="H5" s="4">
        <v>150</v>
      </c>
      <c r="I5" s="4">
        <v>0</v>
      </c>
    </row>
    <row r="6" spans="1:11" x14ac:dyDescent="0.4">
      <c r="A6" s="1" t="str">
        <f t="shared" si="0"/>
        <v>Attribute</v>
      </c>
      <c r="B6" s="1" t="str">
        <f t="shared" ref="B6:B16" si="1">HashString(C6)</f>
        <v>fe7a21767500b91dd2496c1ce2eb9f7a</v>
      </c>
      <c r="C6" s="4" t="s">
        <v>99</v>
      </c>
      <c r="D6" s="4" t="s">
        <v>115</v>
      </c>
      <c r="E6" s="4" t="s">
        <v>122</v>
      </c>
      <c r="G6" s="4">
        <v>0</v>
      </c>
      <c r="H6" s="4">
        <v>200</v>
      </c>
      <c r="I6" s="4">
        <v>-50</v>
      </c>
    </row>
    <row r="7" spans="1:11" x14ac:dyDescent="0.4">
      <c r="A7" s="1" t="str">
        <f t="shared" si="0"/>
        <v>Attribute</v>
      </c>
      <c r="B7" s="1" t="str">
        <f t="shared" si="1"/>
        <v>22fa33820b9f90ed0b7d2b5f6e396143</v>
      </c>
      <c r="C7" s="4" t="s">
        <v>12</v>
      </c>
      <c r="D7" s="4" t="s">
        <v>115</v>
      </c>
      <c r="E7" s="4" t="s">
        <v>123</v>
      </c>
      <c r="G7" s="4">
        <v>0</v>
      </c>
      <c r="H7" s="4">
        <v>50</v>
      </c>
      <c r="I7" s="4">
        <v>100</v>
      </c>
      <c r="K7" s="5" t="s">
        <v>128</v>
      </c>
    </row>
    <row r="8" spans="1:11" x14ac:dyDescent="0.4">
      <c r="A8" s="1" t="str">
        <f t="shared" si="0"/>
        <v>Attribute</v>
      </c>
      <c r="B8" s="1" t="str">
        <f t="shared" si="1"/>
        <v>5c0eec2b5161ae9f7642377d7328d9e9</v>
      </c>
      <c r="C8" s="4" t="s">
        <v>13</v>
      </c>
      <c r="D8" s="4" t="s">
        <v>115</v>
      </c>
      <c r="E8" s="4" t="s">
        <v>123</v>
      </c>
      <c r="G8" s="4">
        <v>0</v>
      </c>
      <c r="H8" s="4">
        <v>100</v>
      </c>
      <c r="I8" s="4">
        <v>50</v>
      </c>
      <c r="K8" s="5" t="s">
        <v>129</v>
      </c>
    </row>
    <row r="9" spans="1:11" x14ac:dyDescent="0.4">
      <c r="A9" s="1" t="str">
        <f t="shared" si="0"/>
        <v>Attribute</v>
      </c>
      <c r="B9" s="1" t="str">
        <f t="shared" si="1"/>
        <v>cd370e0b7a07260abe69e77dd1d79753</v>
      </c>
      <c r="C9" s="4" t="s">
        <v>14</v>
      </c>
      <c r="D9" s="4" t="s">
        <v>115</v>
      </c>
      <c r="E9" s="4" t="s">
        <v>123</v>
      </c>
      <c r="G9" s="4">
        <v>100</v>
      </c>
      <c r="H9" s="4">
        <v>50</v>
      </c>
      <c r="I9" s="4">
        <v>0</v>
      </c>
      <c r="K9" s="5" t="s">
        <v>130</v>
      </c>
    </row>
    <row r="10" spans="1:11" x14ac:dyDescent="0.4">
      <c r="A10" s="1" t="str">
        <f t="shared" si="0"/>
        <v>Attribute</v>
      </c>
      <c r="B10" s="1" t="str">
        <f t="shared" si="1"/>
        <v>bd95ec0f6acdd8e339d4891f1d71db24</v>
      </c>
      <c r="C10" s="4" t="s">
        <v>16</v>
      </c>
      <c r="D10" s="4" t="s">
        <v>115</v>
      </c>
      <c r="E10" s="4" t="s">
        <v>117</v>
      </c>
      <c r="F10" s="4" t="b">
        <v>1</v>
      </c>
      <c r="G10" s="4">
        <v>0</v>
      </c>
      <c r="H10" s="4">
        <v>0</v>
      </c>
      <c r="I10" s="4">
        <v>150</v>
      </c>
    </row>
    <row r="11" spans="1:11" ht="37.5" x14ac:dyDescent="0.4">
      <c r="A11" s="1" t="str">
        <f t="shared" si="0"/>
        <v>Attribute</v>
      </c>
      <c r="B11" s="1" t="str">
        <f t="shared" si="1"/>
        <v>8fd0d302fd0d6f692c3579521f41158c</v>
      </c>
      <c r="C11" s="4" t="s">
        <v>104</v>
      </c>
      <c r="D11" s="4" t="s">
        <v>115</v>
      </c>
      <c r="E11" s="4" t="s">
        <v>117</v>
      </c>
      <c r="F11" s="4" t="b">
        <v>1</v>
      </c>
      <c r="G11" s="4">
        <v>100</v>
      </c>
      <c r="H11" s="4">
        <v>100</v>
      </c>
      <c r="I11" s="4">
        <v>-50</v>
      </c>
      <c r="J11" s="4" t="s">
        <v>125</v>
      </c>
      <c r="K11" s="5" t="s">
        <v>124</v>
      </c>
    </row>
    <row r="12" spans="1:11" x14ac:dyDescent="0.4">
      <c r="A12" s="1" t="str">
        <f t="shared" si="0"/>
        <v>Attribute</v>
      </c>
      <c r="B12" s="1" t="str">
        <f t="shared" si="1"/>
        <v>82d2d46ff308f83e6c4b4c1da7e2c9cc</v>
      </c>
      <c r="C12" s="4" t="s">
        <v>15</v>
      </c>
      <c r="D12" s="4" t="s">
        <v>115</v>
      </c>
      <c r="G12" s="4">
        <v>50</v>
      </c>
      <c r="H12" s="4">
        <v>50</v>
      </c>
      <c r="I12" s="4">
        <v>50</v>
      </c>
    </row>
    <row r="13" spans="1:11" x14ac:dyDescent="0.4">
      <c r="A13" s="1" t="str">
        <f t="shared" si="0"/>
        <v>Attribute</v>
      </c>
      <c r="B13" s="1" t="str">
        <f t="shared" si="1"/>
        <v>c91bd67fc8c1374e1f4c5fe2c4da0e43</v>
      </c>
      <c r="C13" s="4" t="s">
        <v>48</v>
      </c>
      <c r="D13" s="4" t="s">
        <v>115</v>
      </c>
      <c r="G13" s="4">
        <v>0</v>
      </c>
      <c r="H13" s="4">
        <v>50</v>
      </c>
      <c r="I13" s="4">
        <v>100</v>
      </c>
    </row>
    <row r="14" spans="1:11" x14ac:dyDescent="0.4">
      <c r="A14" s="1" t="str">
        <f t="shared" si="0"/>
        <v>Category</v>
      </c>
      <c r="B14" s="1" t="str">
        <f t="shared" si="1"/>
        <v>cb63b6bc462152da249416a29171ffb0</v>
      </c>
      <c r="C14" s="4" t="s">
        <v>112</v>
      </c>
      <c r="D14" s="4" t="s">
        <v>109</v>
      </c>
      <c r="E14" s="4" t="s">
        <v>109</v>
      </c>
      <c r="F14" s="4" t="b">
        <v>1</v>
      </c>
      <c r="G14" s="4">
        <v>200</v>
      </c>
      <c r="H14" s="4">
        <v>100</v>
      </c>
      <c r="I14" s="4">
        <v>100</v>
      </c>
    </row>
    <row r="15" spans="1:11" x14ac:dyDescent="0.4">
      <c r="A15" s="1" t="str">
        <f t="shared" si="0"/>
        <v>Category</v>
      </c>
      <c r="B15" s="1" t="str">
        <f t="shared" si="1"/>
        <v>f082a91615b827a91c20fcaf1751aa54</v>
      </c>
      <c r="C15" s="4" t="s">
        <v>113</v>
      </c>
      <c r="D15" s="4" t="s">
        <v>109</v>
      </c>
      <c r="E15" s="4" t="s">
        <v>109</v>
      </c>
      <c r="F15" s="4" t="b">
        <v>1</v>
      </c>
      <c r="G15" s="4">
        <v>200</v>
      </c>
      <c r="H15" s="4">
        <v>100</v>
      </c>
      <c r="I15" s="4">
        <v>100</v>
      </c>
    </row>
    <row r="16" spans="1:11" x14ac:dyDescent="0.4">
      <c r="A16" s="1" t="str">
        <f t="shared" si="0"/>
        <v>Category</v>
      </c>
      <c r="B16" s="1" t="str">
        <f t="shared" si="1"/>
        <v>b99c2067cbb83f6a737ed2db2d35ea9a</v>
      </c>
      <c r="C16" s="4" t="s">
        <v>114</v>
      </c>
      <c r="D16" s="4" t="s">
        <v>109</v>
      </c>
      <c r="E16" s="4" t="s">
        <v>109</v>
      </c>
      <c r="F16" s="4" t="b">
        <v>1</v>
      </c>
      <c r="G16" s="4">
        <v>200</v>
      </c>
      <c r="H16" s="4">
        <v>100</v>
      </c>
      <c r="I16" s="4">
        <v>100</v>
      </c>
    </row>
  </sheetData>
  <phoneticPr fontId="1"/>
  <conditionalFormatting sqref="C1:K1048576">
    <cfRule type="expression" dxfId="0" priority="1">
      <formula>$J1="×"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ASIN</vt:lpstr>
      <vt:lpstr>Tags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太田浩一</dc:creator>
  <cp:lastModifiedBy>太田浩一</cp:lastModifiedBy>
  <dcterms:created xsi:type="dcterms:W3CDTF">2018-06-04T16:19:04Z</dcterms:created>
  <dcterms:modified xsi:type="dcterms:W3CDTF">2018-07-04T14:02:56Z</dcterms:modified>
</cp:coreProperties>
</file>